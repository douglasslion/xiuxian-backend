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20" windowHeight="11540" activeTab="1"/>
  </bookViews>
  <sheets>
    <sheet name="skil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<sst xmlns="http://schemas.openxmlformats.org/spreadsheetml/2006/main" count="216" uniqueCount="154">
  <si>
    <t>id</t>
  </si>
  <si>
    <t>name</t>
  </si>
  <si>
    <t>rank</t>
  </si>
  <si>
    <t>rankLevel</t>
  </si>
  <si>
    <t>description</t>
  </si>
  <si>
    <t>obtainMethod</t>
  </si>
  <si>
    <t>attributes</t>
  </si>
  <si>
    <t>,</t>
  </si>
  <si>
    <t>skill_1</t>
  </si>
  <si>
    <t>引气诀</t>
  </si>
  <si>
    <t>凡阶</t>
  </si>
  <si>
    <t>凡人入门，滋养肉身提health</t>
  </si>
  <si>
    <t>商店，任务</t>
  </si>
  <si>
    <t>{"health": 5}</t>
  </si>
  <si>
    <t>根骨</t>
  </si>
  <si>
    <t>constitution</t>
  </si>
  <si>
    <t>health</t>
  </si>
  <si>
    <t>skill_2</t>
  </si>
  <si>
    <t>御风术</t>
  </si>
  <si>
    <t>借风提速，适合短途赶路</t>
  </si>
  <si>
    <t>{"speed": 2}</t>
  </si>
  <si>
    <t>身法</t>
  </si>
  <si>
    <t>agility</t>
  </si>
  <si>
    <t>速度</t>
  </si>
  <si>
    <t>speed</t>
  </si>
  <si>
    <t>skill_3</t>
  </si>
  <si>
    <t>静心诀</t>
  </si>
  <si>
    <t>静心聚灵，避免走火入魔</t>
  </si>
  <si>
    <t>{"mana": 5}</t>
  </si>
  <si>
    <t>机缘</t>
  </si>
  <si>
    <t>luck</t>
  </si>
  <si>
    <t>灵力</t>
  </si>
  <si>
    <t>mana</t>
  </si>
  <si>
    <t>skill_4</t>
  </si>
  <si>
    <t>纳运诀</t>
  </si>
  <si>
    <t>粗浅聚运，提升暴击概率</t>
  </si>
  <si>
    <t>{"criticalRate": 0.005}</t>
  </si>
  <si>
    <t>悟性</t>
  </si>
  <si>
    <t>wisdom</t>
  </si>
  <si>
    <t>暴击</t>
  </si>
  <si>
    <t>criticalRate</t>
  </si>
  <si>
    <t>skill_5</t>
  </si>
  <si>
    <t>灵葫锻体诀</t>
  </si>
  <si>
    <t>灵阶</t>
  </si>
  <si>
    <t>灵葫炼体，增幅health</t>
  </si>
  <si>
    <t>{"health": 8}</t>
  </si>
  <si>
    <t>skill_6</t>
  </si>
  <si>
    <t>飞虹遁术</t>
  </si>
  <si>
    <t>化虹而行，速度远超御风</t>
  </si>
  <si>
    <t>{"speed": 3}</t>
  </si>
  <si>
    <t>迅捷</t>
  </si>
  <si>
    <t>skill_7</t>
  </si>
  <si>
    <t>清心灵诀</t>
  </si>
  <si>
    <t>净化杂念，提升灵力纯度</t>
  </si>
  <si>
    <t>{"mana": 8}</t>
  </si>
  <si>
    <t>神识</t>
  </si>
  <si>
    <t>spirit</t>
  </si>
  <si>
    <t>skill_8</t>
  </si>
  <si>
    <t>鸿运诀</t>
  </si>
  <si>
    <t>引先天气运，增暴击</t>
  </si>
  <si>
    <t>{"criticalRate": 0.008}</t>
  </si>
  <si>
    <t>攻击</t>
  </si>
  <si>
    <t>attack</t>
  </si>
  <si>
    <t>skill_9</t>
  </si>
  <si>
    <t>玄黄炼体诀</t>
  </si>
  <si>
    <t>黄阶</t>
  </si>
  <si>
    <t>玄黄淬体，神魔立身之本</t>
  </si>
  <si>
    <t>{"health": 12}</t>
  </si>
  <si>
    <t>防御</t>
  </si>
  <si>
    <t>defense</t>
  </si>
  <si>
    <t>skill_10</t>
  </si>
  <si>
    <t>裂空遁法</t>
  </si>
  <si>
    <t>裂空瞬移，快如惊雷</t>
  </si>
  <si>
    <t>{"speed": 5}</t>
  </si>
  <si>
    <t>skill_11</t>
  </si>
  <si>
    <t>玄慧心经</t>
  </si>
  <si>
    <t>提升灵力，助力突破瓶颈</t>
  </si>
  <si>
    <t>{"mana": 12}</t>
  </si>
  <si>
    <t>闪避</t>
  </si>
  <si>
    <t>dodge</t>
  </si>
  <si>
    <t>skill_12</t>
  </si>
  <si>
    <t>玄运天诀</t>
  </si>
  <si>
    <t>聚玄运气韵，避凶险</t>
  </si>
  <si>
    <t>{"criticalRate": 0.01}</t>
  </si>
  <si>
    <t>skill_13</t>
  </si>
  <si>
    <t>地魁金身诀</t>
  </si>
  <si>
    <t>玄阶</t>
  </si>
  <si>
    <t>凝大地金身，硬抗准圣</t>
  </si>
  <si>
    <t>商店，任务，宗门</t>
  </si>
  <si>
    <t>{"health": 18}</t>
  </si>
  <si>
    <t>skill_14</t>
  </si>
  <si>
    <t>无影遁</t>
  </si>
  <si>
    <t>无影无踪，准圣难寻</t>
  </si>
  <si>
    <t>{"speed": 7}</t>
  </si>
  <si>
    <t>skill_15</t>
  </si>
  <si>
    <t>地心灵慧经</t>
  </si>
  <si>
    <t>滋养神识，助破准圣</t>
  </si>
  <si>
    <t>{"mana": 18}</t>
  </si>
  <si>
    <t>skill_16</t>
  </si>
  <si>
    <t>地煞鸿运经</t>
  </si>
  <si>
    <t>引地煞气运，牵天地机缘</t>
  </si>
  <si>
    <t>{"criticalRate": 0.015}</t>
  </si>
  <si>
    <t>skill_17</t>
  </si>
  <si>
    <t>大品天仙诀·根骨篇</t>
  </si>
  <si>
    <t>地阶</t>
  </si>
  <si>
    <t>道门正统，淬炼先天根骨</t>
  </si>
  <si>
    <t>{"constitution": 2}</t>
  </si>
  <si>
    <t>skill_18</t>
  </si>
  <si>
    <t>天罡遁法·迅捷篇</t>
  </si>
  <si>
    <t>天罡淬身，提升迅捷</t>
  </si>
  <si>
    <t>{"agility": 2}</t>
  </si>
  <si>
    <t>skill_19</t>
  </si>
  <si>
    <t>玉清仙法·悟性篇</t>
  </si>
  <si>
    <t>玉清传承，提升悟性</t>
  </si>
  <si>
    <t>{"wisdom": 2}</t>
  </si>
  <si>
    <t>skill_20</t>
  </si>
  <si>
    <t>天命大运诀·机缘篇</t>
  </si>
  <si>
    <t>提升机缘，易获至宝</t>
  </si>
  <si>
    <t>{"luck": 2}</t>
  </si>
  <si>
    <t>skill_21</t>
  </si>
  <si>
    <t>九转玄功·根骨经</t>
  </si>
  <si>
    <t>天阶</t>
  </si>
  <si>
    <t>九转淬骨，肉身成圣法门</t>
  </si>
  <si>
    <t>{"constitution": 3}</t>
  </si>
  <si>
    <t>skill_22</t>
  </si>
  <si>
    <t>混沌极速法·迅捷经</t>
  </si>
  <si>
    <t>混沌法则，速度破空间</t>
  </si>
  <si>
    <t>{"agility": 3}</t>
  </si>
  <si>
    <t>skill_23</t>
  </si>
  <si>
    <t>九转元功·悟性经</t>
  </si>
  <si>
    <t>九转悟道，速领大道</t>
  </si>
  <si>
    <t>{"wisdom": 3}</t>
  </si>
  <si>
    <t>skill_24</t>
  </si>
  <si>
    <t>混元道经·机缘经</t>
  </si>
  <si>
    <t>混元气运，引本源机缘</t>
  </si>
  <si>
    <t>{"luck": 3}</t>
  </si>
  <si>
    <t>skill_25</t>
  </si>
  <si>
    <t>盘古真身诀·根骨天书</t>
  </si>
  <si>
    <t>圣阶</t>
  </si>
  <si>
    <t>盘古传承，根骨冠洪荒</t>
  </si>
  <si>
    <t>活动</t>
  </si>
  <si>
    <t>{"constitution": 5}</t>
  </si>
  <si>
    <t>skill_26</t>
  </si>
  <si>
    <t>鲲鹏北冥遁·迅捷天书</t>
  </si>
  <si>
    <t>鲲鹏传承，可混沌穿梭</t>
  </si>
  <si>
    <t>{"agility": 5}</t>
  </si>
  <si>
    <t>skill_27</t>
  </si>
  <si>
    <t>鸿蒙大道诀·悟性天书</t>
  </si>
  <si>
    <t>鸿蒙本源，悟性达混沌</t>
  </si>
  <si>
    <t>{"wisdom": 5}</t>
  </si>
  <si>
    <t>skill_28</t>
  </si>
  <si>
    <t>混沌本源诀·机缘天书</t>
  </si>
  <si>
    <t>混沌气运，引至宝机缘</t>
  </si>
  <si>
    <t>{"luck": 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</si>
</sst>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10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opLeftCell="A2" workbookViewId="0">
      <selection activeCell="H2" sqref="H2:H29"/>
    </sheetView>
  </sheetViews>
  <sheetFormatPr defaultColWidth="9.23076923076923" defaultRowHeight="16.8"/>
  <cols>
    <col min="2" max="2" width="20" customWidth="1"/>
    <col min="4" max="4" width="10.3846153846154" customWidth="1"/>
    <col min="5" max="5" width="23.8461538461538" customWidth="1"/>
    <col min="6" max="6" width="20" customWidth="1"/>
    <col min="7" max="7" width="22.5384615384615" customWidth="1"/>
    <col min="10" max="10" width="8.97115384615385" customWidth="1"/>
    <col min="11" max="11" width="6.30769230769231" customWidth="1"/>
    <col min="12" max="12" width="12.5384615384615" customWidth="1"/>
    <col min="14" max="14" width="4.61538461538461" customWidth="1"/>
    <col min="15" max="15" width="12.5384615384615" customWidth="1"/>
    <col min="19" max="19" width="8.97115384615385" customWidth="1"/>
  </cols>
  <sheetData>
    <row r="1" ht="17.55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31.75" spans="1:20">
      <c r="A2" t="s">
        <v>8</v>
      </c>
      <c r="B2" s="1" t="s">
        <v>9</v>
      </c>
      <c r="C2" t="s">
        <v>10</v>
      </c>
      <c r="D2">
        <v>1</v>
      </c>
      <c r="E2" s="1" t="s">
        <v>11</v>
      </c>
      <c r="F2" t="s">
        <v>12</v>
      </c>
      <c r="G2" t="s">
        <v>13</v>
      </c>
      <c r="H2" t="str">
        <f>A2&amp;$H$1&amp;B2&amp;$H$1&amp;C2&amp;$H$1&amp;D2&amp;$H$1&amp;E2&amp;$H$1&amp;F2&amp;$H$1&amp;G2</f>
        <v>skill_1,引气诀,凡阶,1,凡人入门，滋养肉身提health,商店，任务,{"health": 5}</v>
      </c>
      <c r="J2" s="1"/>
      <c r="K2" s="1"/>
      <c r="L2"/>
      <c r="N2" s="1" t="s">
        <v>14</v>
      </c>
      <c r="O2" t="s">
        <v>15</v>
      </c>
      <c r="S2" s="1" t="s">
        <v>16</v>
      </c>
      <c r="T2" t="s">
        <v>16</v>
      </c>
    </row>
    <row r="3" ht="17.55" spans="1:20">
      <c r="A3" t="s">
        <v>17</v>
      </c>
      <c r="B3" s="1" t="s">
        <v>18</v>
      </c>
      <c r="C3" t="s">
        <v>10</v>
      </c>
      <c r="D3">
        <v>1</v>
      </c>
      <c r="E3" s="1" t="s">
        <v>19</v>
      </c>
      <c r="F3" t="s">
        <v>12</v>
      </c>
      <c r="G3" t="s">
        <v>20</v>
      </c>
      <c r="H3" t="str">
        <f t="shared" ref="H3:H29" si="0">A3&amp;$H$1&amp;B3&amp;$H$1&amp;C3&amp;$H$1&amp;D3&amp;$H$1&amp;E3&amp;$H$1&amp;F3&amp;$H$1&amp;G3</f>
        <v>skill_2,御风术,凡阶,1,借风提速，适合短途赶路,商店，任务,{"speed": 2}</v>
      </c>
      <c r="J3" s="1"/>
      <c r="K3" s="1"/>
      <c r="L3"/>
      <c r="N3" s="1" t="s">
        <v>21</v>
      </c>
      <c r="O3" t="s">
        <v>22</v>
      </c>
      <c r="S3" s="1" t="s">
        <v>23</v>
      </c>
      <c r="T3" t="s">
        <v>24</v>
      </c>
    </row>
    <row r="4" ht="17.55" spans="1:20">
      <c r="A4" t="s">
        <v>25</v>
      </c>
      <c r="B4" s="1" t="s">
        <v>26</v>
      </c>
      <c r="C4" t="s">
        <v>10</v>
      </c>
      <c r="D4">
        <v>1</v>
      </c>
      <c r="E4" s="1" t="s">
        <v>27</v>
      </c>
      <c r="F4" t="s">
        <v>12</v>
      </c>
      <c r="G4" t="s">
        <v>28</v>
      </c>
      <c r="H4" t="str">
        <f t="shared" si="0"/>
        <v>skill_3,静心诀,凡阶,1,静心聚灵，避免走火入魔,商店，任务,{"mana": 5}</v>
      </c>
      <c r="J4" s="1"/>
      <c r="K4" s="1"/>
      <c r="L4"/>
      <c r="N4" s="1" t="s">
        <v>29</v>
      </c>
      <c r="O4" t="s">
        <v>30</v>
      </c>
      <c r="S4" s="1" t="s">
        <v>31</v>
      </c>
      <c r="T4" t="s">
        <v>32</v>
      </c>
    </row>
    <row r="5" ht="17.55" spans="1:20">
      <c r="A5" t="s">
        <v>33</v>
      </c>
      <c r="B5" s="2" t="s">
        <v>34</v>
      </c>
      <c r="C5" t="s">
        <v>10</v>
      </c>
      <c r="D5">
        <v>1</v>
      </c>
      <c r="E5" s="1" t="s">
        <v>35</v>
      </c>
      <c r="F5" t="s">
        <v>12</v>
      </c>
      <c r="G5" t="s">
        <v>36</v>
      </c>
      <c r="H5" t="str">
        <f t="shared" si="0"/>
        <v>skill_4,纳运诀,凡阶,1,粗浅聚运，提升暴击概率,商店，任务,{"criticalRate": 0.005}</v>
      </c>
      <c r="J5" s="1"/>
      <c r="K5" s="3"/>
      <c r="L5"/>
      <c r="N5" s="1" t="s">
        <v>37</v>
      </c>
      <c r="O5" t="s">
        <v>38</v>
      </c>
      <c r="S5" s="1" t="s">
        <v>39</v>
      </c>
      <c r="T5" t="s">
        <v>40</v>
      </c>
    </row>
    <row r="6" ht="31.75" spans="1:20">
      <c r="A6" t="s">
        <v>41</v>
      </c>
      <c r="B6" s="1" t="s">
        <v>42</v>
      </c>
      <c r="C6" t="s">
        <v>43</v>
      </c>
      <c r="D6">
        <v>2</v>
      </c>
      <c r="E6" s="1" t="s">
        <v>44</v>
      </c>
      <c r="F6" t="s">
        <v>12</v>
      </c>
      <c r="G6" t="s">
        <v>45</v>
      </c>
      <c r="H6" t="str">
        <f t="shared" si="0"/>
        <v>skill_5,灵葫锻体诀,灵阶,2,灵葫炼体，增幅health,商店，任务,{"health": 8}</v>
      </c>
      <c r="J6" s="1"/>
      <c r="K6" s="1"/>
      <c r="L6"/>
      <c r="N6" s="1" t="s">
        <v>16</v>
      </c>
      <c r="O6" t="s">
        <v>16</v>
      </c>
      <c r="S6" s="1" t="s">
        <v>14</v>
      </c>
      <c r="T6" t="s">
        <v>15</v>
      </c>
    </row>
    <row r="7" ht="17.55" spans="1:20">
      <c r="A7" t="s">
        <v>46</v>
      </c>
      <c r="B7" s="2" t="s">
        <v>47</v>
      </c>
      <c r="C7" t="s">
        <v>43</v>
      </c>
      <c r="D7">
        <v>2</v>
      </c>
      <c r="E7" s="1" t="s">
        <v>48</v>
      </c>
      <c r="F7" t="s">
        <v>12</v>
      </c>
      <c r="G7" t="s">
        <v>49</v>
      </c>
      <c r="H7" t="str">
        <f t="shared" si="0"/>
        <v>skill_6,飞虹遁术,灵阶,2,化虹而行，速度远超御风,商店，任务,{"speed": 3}</v>
      </c>
      <c r="J7" s="1"/>
      <c r="K7" s="1"/>
      <c r="L7"/>
      <c r="N7" s="1" t="s">
        <v>31</v>
      </c>
      <c r="O7" t="s">
        <v>32</v>
      </c>
      <c r="S7" s="1" t="s">
        <v>50</v>
      </c>
      <c r="T7" t="s">
        <v>22</v>
      </c>
    </row>
    <row r="8" ht="17.55" spans="1:20">
      <c r="A8" t="s">
        <v>51</v>
      </c>
      <c r="B8" s="1" t="s">
        <v>52</v>
      </c>
      <c r="C8" t="s">
        <v>43</v>
      </c>
      <c r="D8">
        <v>2</v>
      </c>
      <c r="E8" s="1" t="s">
        <v>53</v>
      </c>
      <c r="F8" t="s">
        <v>12</v>
      </c>
      <c r="G8" t="s">
        <v>54</v>
      </c>
      <c r="H8" t="str">
        <f t="shared" si="0"/>
        <v>skill_7,清心灵诀,灵阶,2,净化杂念，提升灵力纯度,商店，任务,{"mana": 8}</v>
      </c>
      <c r="J8" s="1"/>
      <c r="K8" s="1"/>
      <c r="L8"/>
      <c r="N8" s="1" t="s">
        <v>55</v>
      </c>
      <c r="O8" t="s">
        <v>56</v>
      </c>
      <c r="S8" s="1" t="s">
        <v>37</v>
      </c>
      <c r="T8" t="s">
        <v>38</v>
      </c>
    </row>
    <row r="9" ht="17.55" spans="1:20">
      <c r="A9" t="s">
        <v>57</v>
      </c>
      <c r="B9" s="1" t="s">
        <v>58</v>
      </c>
      <c r="C9" t="s">
        <v>43</v>
      </c>
      <c r="D9">
        <v>2</v>
      </c>
      <c r="E9" s="1" t="s">
        <v>59</v>
      </c>
      <c r="F9" t="s">
        <v>12</v>
      </c>
      <c r="G9" t="s">
        <v>60</v>
      </c>
      <c r="H9" t="str">
        <f t="shared" si="0"/>
        <v>skill_8,鸿运诀,灵阶,2,引先天气运，增暴击,商店，任务,{"criticalRate": 0.008}</v>
      </c>
      <c r="J9" s="1"/>
      <c r="K9" s="3"/>
      <c r="L9"/>
      <c r="N9" s="1" t="s">
        <v>61</v>
      </c>
      <c r="O9" t="s">
        <v>62</v>
      </c>
      <c r="S9" s="1" t="s">
        <v>29</v>
      </c>
      <c r="T9" t="s">
        <v>30</v>
      </c>
    </row>
    <row r="10" ht="17.55" spans="1:20">
      <c r="A10" t="s">
        <v>63</v>
      </c>
      <c r="B10" s="1" t="s">
        <v>64</v>
      </c>
      <c r="C10" t="s">
        <v>65</v>
      </c>
      <c r="D10">
        <v>3</v>
      </c>
      <c r="E10" s="1" t="s">
        <v>66</v>
      </c>
      <c r="F10" t="s">
        <v>12</v>
      </c>
      <c r="G10" t="s">
        <v>67</v>
      </c>
      <c r="H10" t="str">
        <f t="shared" si="0"/>
        <v>skill_9,玄黄炼体诀,黄阶,3,玄黄淬体，神魔立身之本,商店，任务,{"health": 12}</v>
      </c>
      <c r="J10" s="1"/>
      <c r="K10" s="1"/>
      <c r="L10"/>
      <c r="N10" s="1" t="s">
        <v>68</v>
      </c>
      <c r="O10" t="s">
        <v>69</v>
      </c>
    </row>
    <row r="11" ht="17.55" spans="1:20">
      <c r="A11" t="s">
        <v>70</v>
      </c>
      <c r="B11" s="1" t="s">
        <v>71</v>
      </c>
      <c r="C11" t="s">
        <v>65</v>
      </c>
      <c r="D11">
        <v>3</v>
      </c>
      <c r="E11" s="1" t="s">
        <v>72</v>
      </c>
      <c r="F11" t="s">
        <v>12</v>
      </c>
      <c r="G11" t="s">
        <v>73</v>
      </c>
      <c r="H11" t="str">
        <f t="shared" si="0"/>
        <v>skill_10,裂空遁法,黄阶,3,裂空瞬移，快如惊雷,商店，任务,{"speed": 5}</v>
      </c>
      <c r="J11" s="1"/>
      <c r="K11" s="1"/>
      <c r="L11"/>
      <c r="N11" s="1" t="s">
        <v>23</v>
      </c>
      <c r="O11" t="s">
        <v>24</v>
      </c>
    </row>
    <row r="12" ht="17.55" spans="1:20">
      <c r="A12" t="s">
        <v>74</v>
      </c>
      <c r="B12" s="1" t="s">
        <v>75</v>
      </c>
      <c r="C12" t="s">
        <v>65</v>
      </c>
      <c r="D12">
        <v>3</v>
      </c>
      <c r="E12" s="1" t="s">
        <v>76</v>
      </c>
      <c r="F12" t="s">
        <v>12</v>
      </c>
      <c r="G12" t="s">
        <v>77</v>
      </c>
      <c r="H12" t="str">
        <f t="shared" si="0"/>
        <v>skill_11,玄慧心经,黄阶,3,提升灵力，助力突破瓶颈,商店，任务,{"mana": 12}</v>
      </c>
      <c r="J12" s="1"/>
      <c r="K12" s="1"/>
      <c r="L12"/>
      <c r="N12" s="1" t="s">
        <v>78</v>
      </c>
      <c r="O12" t="s">
        <v>79</v>
      </c>
    </row>
    <row r="13" ht="17.55" spans="1:20">
      <c r="A13" t="s">
        <v>80</v>
      </c>
      <c r="B13" s="1" t="s">
        <v>81</v>
      </c>
      <c r="C13" t="s">
        <v>65</v>
      </c>
      <c r="D13">
        <v>3</v>
      </c>
      <c r="E13" s="1" t="s">
        <v>82</v>
      </c>
      <c r="F13" t="s">
        <v>12</v>
      </c>
      <c r="G13" t="s">
        <v>83</v>
      </c>
      <c r="H13" t="str">
        <f t="shared" si="0"/>
        <v>skill_12,玄运天诀,黄阶,3,聚玄运气韵，避凶险,商店，任务,{"criticalRate": 0.01}</v>
      </c>
      <c r="J13" s="1"/>
      <c r="K13" s="3"/>
      <c r="L13"/>
      <c r="N13" s="1" t="s">
        <v>39</v>
      </c>
      <c r="O13" t="s">
        <v>40</v>
      </c>
    </row>
    <row r="14" ht="17.55" spans="1:20">
      <c r="A14" t="s">
        <v>84</v>
      </c>
      <c r="B14" s="1" t="s">
        <v>85</v>
      </c>
      <c r="C14" t="s">
        <v>86</v>
      </c>
      <c r="D14">
        <v>4</v>
      </c>
      <c r="E14" s="1" t="s">
        <v>87</v>
      </c>
      <c r="F14" t="s">
        <v>88</v>
      </c>
      <c r="G14" t="s">
        <v>89</v>
      </c>
      <c r="H14" t="str">
        <f t="shared" si="0"/>
        <v>skill_13,地魁金身诀,玄阶,4,凝大地金身，硬抗准圣,商店，任务，宗门,{"health": 18}</v>
      </c>
      <c r="J14" s="1"/>
      <c r="K14" s="1"/>
      <c r="L14"/>
      <c r="N14" s="1"/>
    </row>
    <row r="15" ht="17.55" spans="1:20">
      <c r="A15" t="s">
        <v>90</v>
      </c>
      <c r="B15" s="1" t="s">
        <v>91</v>
      </c>
      <c r="C15" t="s">
        <v>86</v>
      </c>
      <c r="D15">
        <v>4</v>
      </c>
      <c r="E15" s="1" t="s">
        <v>92</v>
      </c>
      <c r="F15" t="s">
        <v>88</v>
      </c>
      <c r="G15" t="s">
        <v>93</v>
      </c>
      <c r="H15" t="str">
        <f t="shared" si="0"/>
        <v>skill_14,无影遁,玄阶,4,无影无踪，准圣难寻,商店，任务，宗门,{"speed": 7}</v>
      </c>
      <c r="J15" s="1"/>
      <c r="K15" s="1"/>
      <c r="L15"/>
      <c r="N15" s="1"/>
    </row>
    <row r="16" ht="17.55" spans="1:20">
      <c r="A16" t="s">
        <v>94</v>
      </c>
      <c r="B16" s="1" t="s">
        <v>95</v>
      </c>
      <c r="C16" t="s">
        <v>86</v>
      </c>
      <c r="D16">
        <v>4</v>
      </c>
      <c r="E16" s="1" t="s">
        <v>96</v>
      </c>
      <c r="F16" t="s">
        <v>88</v>
      </c>
      <c r="G16" t="s">
        <v>97</v>
      </c>
      <c r="H16" t="str">
        <f t="shared" si="0"/>
        <v>skill_15,地心灵慧经,玄阶,4,滋养神识，助破准圣,商店，任务，宗门,{"mana": 18}</v>
      </c>
      <c r="J16" s="1"/>
      <c r="K16" s="1"/>
      <c r="L16"/>
      <c r="N16" s="1"/>
    </row>
    <row r="17" ht="17.55" spans="1:14">
      <c r="A17" t="s">
        <v>98</v>
      </c>
      <c r="B17" s="1" t="s">
        <v>99</v>
      </c>
      <c r="C17" t="s">
        <v>86</v>
      </c>
      <c r="D17">
        <v>4</v>
      </c>
      <c r="E17" s="1" t="s">
        <v>100</v>
      </c>
      <c r="F17" t="s">
        <v>88</v>
      </c>
      <c r="G17" t="s">
        <v>101</v>
      </c>
      <c r="H17" t="str">
        <f t="shared" si="0"/>
        <v>skill_16,地煞鸿运经,玄阶,4,引地煞气运，牵天地机缘,商店，任务，宗门,{"criticalRate": 0.015}</v>
      </c>
      <c r="J17" s="1"/>
      <c r="K17" s="3"/>
      <c r="L17"/>
      <c r="N17" s="1"/>
    </row>
    <row r="18" ht="17.55" spans="1:14">
      <c r="A18" t="s">
        <v>102</v>
      </c>
      <c r="B18" s="1" t="s">
        <v>103</v>
      </c>
      <c r="C18" t="s">
        <v>104</v>
      </c>
      <c r="D18">
        <v>5</v>
      </c>
      <c r="E18" s="1" t="s">
        <v>105</v>
      </c>
      <c r="F18" t="s">
        <v>88</v>
      </c>
      <c r="G18" t="s">
        <v>106</v>
      </c>
      <c r="H18" t="str">
        <f t="shared" si="0"/>
        <v>skill_17,大品天仙诀·根骨篇,地阶,5,道门正统，淬炼先天根骨,商店，任务，宗门,{"constitution": 2}</v>
      </c>
      <c r="J18" s="1"/>
      <c r="K18" s="1"/>
      <c r="L18"/>
      <c r="N18" s="1"/>
    </row>
    <row r="19" ht="17.55" spans="1:14">
      <c r="A19" t="s">
        <v>107</v>
      </c>
      <c r="B19" s="1" t="s">
        <v>108</v>
      </c>
      <c r="C19" t="s">
        <v>104</v>
      </c>
      <c r="D19">
        <v>5</v>
      </c>
      <c r="E19" s="1" t="s">
        <v>109</v>
      </c>
      <c r="F19" t="s">
        <v>88</v>
      </c>
      <c r="G19" t="s">
        <v>110</v>
      </c>
      <c r="H19" t="str">
        <f t="shared" si="0"/>
        <v>skill_18,天罡遁法·迅捷篇,地阶,5,天罡淬身，提升迅捷,商店，任务，宗门,{"agility": 2}</v>
      </c>
      <c r="J19" s="1"/>
      <c r="K19" s="1"/>
      <c r="L19"/>
      <c r="N19" s="1"/>
    </row>
    <row r="20" ht="17.55" spans="1:14">
      <c r="A20" t="s">
        <v>111</v>
      </c>
      <c r="B20" s="1" t="s">
        <v>112</v>
      </c>
      <c r="C20" t="s">
        <v>104</v>
      </c>
      <c r="D20">
        <v>5</v>
      </c>
      <c r="E20" s="1" t="s">
        <v>113</v>
      </c>
      <c r="F20" t="s">
        <v>88</v>
      </c>
      <c r="G20" t="s">
        <v>114</v>
      </c>
      <c r="H20" t="str">
        <f t="shared" si="0"/>
        <v>skill_19,玉清仙法·悟性篇,地阶,5,玉清传承，提升悟性,商店，任务，宗门,{"wisdom": 2}</v>
      </c>
      <c r="J20" s="1"/>
      <c r="K20" s="1"/>
      <c r="L20"/>
      <c r="N20" s="1"/>
    </row>
    <row r="21" ht="17.55" spans="1:14">
      <c r="A21" t="s">
        <v>115</v>
      </c>
      <c r="B21" s="1" t="s">
        <v>116</v>
      </c>
      <c r="C21" t="s">
        <v>104</v>
      </c>
      <c r="D21">
        <v>5</v>
      </c>
      <c r="E21" s="1" t="s">
        <v>117</v>
      </c>
      <c r="F21" t="s">
        <v>88</v>
      </c>
      <c r="G21" t="s">
        <v>118</v>
      </c>
      <c r="H21" t="str">
        <f t="shared" si="0"/>
        <v>skill_20,天命大运诀·机缘篇,地阶,5,提升机缘，易获至宝,商店，任务，宗门,{"luck": 2}</v>
      </c>
      <c r="J21" s="1"/>
      <c r="K21" s="1"/>
      <c r="L21"/>
      <c r="N21" s="1"/>
    </row>
    <row r="22" ht="17.55" spans="1:14">
      <c r="A22" t="s">
        <v>119</v>
      </c>
      <c r="B22" s="1" t="s">
        <v>120</v>
      </c>
      <c r="C22" t="s">
        <v>121</v>
      </c>
      <c r="D22">
        <v>6</v>
      </c>
      <c r="E22" s="1" t="s">
        <v>122</v>
      </c>
      <c r="F22" t="s">
        <v>88</v>
      </c>
      <c r="G22" t="s">
        <v>123</v>
      </c>
      <c r="H22" t="str">
        <f t="shared" si="0"/>
        <v>skill_21,九转玄功·根骨经,天阶,6,九转淬骨，肉身成圣法门,商店，任务，宗门,{"constitution": 3}</v>
      </c>
      <c r="J22" s="1"/>
      <c r="K22" s="1"/>
      <c r="L22"/>
      <c r="N22" s="1"/>
    </row>
    <row r="23" ht="17.55" spans="1:14">
      <c r="A23" t="s">
        <v>124</v>
      </c>
      <c r="B23" s="1" t="s">
        <v>125</v>
      </c>
      <c r="C23" t="s">
        <v>121</v>
      </c>
      <c r="D23">
        <v>6</v>
      </c>
      <c r="E23" s="1" t="s">
        <v>126</v>
      </c>
      <c r="F23" t="s">
        <v>88</v>
      </c>
      <c r="G23" t="s">
        <v>127</v>
      </c>
      <c r="H23" t="str">
        <f t="shared" si="0"/>
        <v>skill_22,混沌极速法·迅捷经,天阶,6,混沌法则，速度破空间,商店，任务，宗门,{"agility": 3}</v>
      </c>
      <c r="J23" s="1"/>
      <c r="K23" s="1"/>
      <c r="L23"/>
      <c r="N23" s="1"/>
    </row>
    <row r="24" ht="17.55" spans="1:14">
      <c r="A24" t="s">
        <v>128</v>
      </c>
      <c r="B24" s="1" t="s">
        <v>129</v>
      </c>
      <c r="C24" t="s">
        <v>121</v>
      </c>
      <c r="D24">
        <v>6</v>
      </c>
      <c r="E24" s="1" t="s">
        <v>130</v>
      </c>
      <c r="F24" t="s">
        <v>88</v>
      </c>
      <c r="G24" t="s">
        <v>131</v>
      </c>
      <c r="H24" t="str">
        <f t="shared" si="0"/>
        <v>skill_23,九转元功·悟性经,天阶,6,九转悟道，速领大道,商店，任务，宗门,{"wisdom": 3}</v>
      </c>
      <c r="J24" s="1"/>
      <c r="K24" s="1"/>
      <c r="L24"/>
      <c r="N24" s="1"/>
    </row>
    <row r="25" ht="17.55" spans="1:14">
      <c r="A25" t="s">
        <v>132</v>
      </c>
      <c r="B25" s="1" t="s">
        <v>133</v>
      </c>
      <c r="C25" t="s">
        <v>121</v>
      </c>
      <c r="D25">
        <v>6</v>
      </c>
      <c r="E25" s="1" t="s">
        <v>134</v>
      </c>
      <c r="F25" t="s">
        <v>88</v>
      </c>
      <c r="G25" t="s">
        <v>135</v>
      </c>
      <c r="H25" t="str">
        <f t="shared" si="0"/>
        <v>skill_24,混元道经·机缘经,天阶,6,混元气运，引本源机缘,商店，任务，宗门,{"luck": 3}</v>
      </c>
      <c r="J25" s="1"/>
      <c r="K25" s="1"/>
      <c r="L25"/>
      <c r="N25" s="1"/>
    </row>
    <row r="26" ht="17.55" spans="1:14">
      <c r="A26" t="s">
        <v>136</v>
      </c>
      <c r="B26" s="1" t="s">
        <v>137</v>
      </c>
      <c r="C26" t="s">
        <v>138</v>
      </c>
      <c r="D26">
        <v>7</v>
      </c>
      <c r="E26" s="1" t="s">
        <v>139</v>
      </c>
      <c r="F26" t="s">
        <v>140</v>
      </c>
      <c r="G26" t="s">
        <v>141</v>
      </c>
      <c r="H26" t="str">
        <f t="shared" si="0"/>
        <v>skill_25,盘古真身诀·根骨天书,圣阶,7,盘古传承，根骨冠洪荒,活动,{"constitution": 5}</v>
      </c>
      <c r="J26" s="1"/>
      <c r="K26" s="1"/>
      <c r="L26"/>
      <c r="N26" s="1"/>
    </row>
    <row r="27" ht="17.55" spans="1:14">
      <c r="A27" t="s">
        <v>142</v>
      </c>
      <c r="B27" s="1" t="s">
        <v>143</v>
      </c>
      <c r="C27" t="s">
        <v>138</v>
      </c>
      <c r="D27">
        <v>7</v>
      </c>
      <c r="E27" s="1" t="s">
        <v>144</v>
      </c>
      <c r="F27" t="s">
        <v>140</v>
      </c>
      <c r="G27" t="s">
        <v>145</v>
      </c>
      <c r="H27" t="str">
        <f t="shared" si="0"/>
        <v>skill_26,鲲鹏北冥遁·迅捷天书,圣阶,7,鲲鹏传承，可混沌穿梭,活动,{"agility": 5}</v>
      </c>
      <c r="J27" s="1"/>
      <c r="K27" s="1"/>
      <c r="L27"/>
      <c r="N27" s="1"/>
    </row>
    <row r="28" ht="18.3" customHeight="1" spans="1:14">
      <c r="A28" t="s">
        <v>146</v>
      </c>
      <c r="B28" s="1" t="s">
        <v>147</v>
      </c>
      <c r="C28" t="s">
        <v>138</v>
      </c>
      <c r="D28">
        <v>7</v>
      </c>
      <c r="E28" s="1" t="s">
        <v>148</v>
      </c>
      <c r="F28" t="s">
        <v>140</v>
      </c>
      <c r="G28" t="s">
        <v>149</v>
      </c>
      <c r="H28" t="str">
        <f t="shared" si="0"/>
        <v>skill_27,鸿蒙大道诀·悟性天书,圣阶,7,鸿蒙本源，悟性达混沌,活动,{"wisdom": 5}</v>
      </c>
      <c r="J28" s="1"/>
      <c r="K28" s="1"/>
      <c r="L28"/>
      <c r="N28" s="1"/>
    </row>
    <row r="29" ht="17.55" spans="1:14">
      <c r="A29" t="s">
        <v>150</v>
      </c>
      <c r="B29" s="1" t="s">
        <v>151</v>
      </c>
      <c r="C29" t="s">
        <v>138</v>
      </c>
      <c r="D29">
        <v>7</v>
      </c>
      <c r="E29" s="1" t="s">
        <v>152</v>
      </c>
      <c r="F29" t="s">
        <v>140</v>
      </c>
      <c r="G29" t="s">
        <v>153</v>
      </c>
      <c r="H29" t="str">
        <f t="shared" si="0"/>
        <v>skill_28,混沌本源诀·机缘天书,圣阶,7,混沌气运，引至宝机缘,活动,{"luck": 5}</v>
      </c>
      <c r="J29" s="1"/>
      <c r="K29" s="4"/>
      <c r="N29" s="1"/>
    </row>
    <row r="30" ht="17.55" spans="1:14">
      <c r="K30" s="5"/>
    </row>
  </sheetData>
  <mergeCells count="1">
    <mergeCell ref="K29:K30"/>
  </mergeCells>
  <conditionalFormatting sqref="B1:B30 B33:B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23" sqref="D23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</cp:lastModifiedBy>
  <dcterms:created xsi:type="dcterms:W3CDTF">2025-07-30T08:15:00Z</dcterms:created>
  <dcterms:modified xsi:type="dcterms:W3CDTF">2026-03-26T09:36:40Z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